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6A87CC29-5FE6-49DF-9FD2-88C6C8F6ABC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cenario Summary" sheetId="3" r:id="rId3"/>
    <sheet name="Sheet4" sheetId="4" r:id="rId4"/>
  </sheets>
  <definedNames>
    <definedName name="solver_adj" localSheetId="3" hidden="1">Sheet4!$B$2:$C$2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Sheet4!$D$6</definedName>
    <definedName name="solver_lhs2" localSheetId="3" hidden="1">Sheet4!$D$7</definedName>
    <definedName name="solver_lhs3" localSheetId="3" hidden="1">Sheet4!$D$8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nwt" localSheetId="3" hidden="1">1</definedName>
    <definedName name="solver_opt" localSheetId="3" hidden="1">Sheet4!$D$3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hs1" localSheetId="3" hidden="1">Sheet4!$E$6</definedName>
    <definedName name="solver_rhs2" localSheetId="3" hidden="1">Sheet4!$E$7</definedName>
    <definedName name="solver_rhs3" localSheetId="3" hidden="1">Sheet4!$E$8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D7" i="4"/>
  <c r="D6" i="4"/>
  <c r="D3" i="4"/>
  <c r="B11" i="2"/>
  <c r="B12" i="2" s="1"/>
  <c r="B13" i="2" s="1"/>
  <c r="B14" i="2" s="1"/>
  <c r="B5" i="1"/>
</calcChain>
</file>

<file path=xl/sharedStrings.xml><?xml version="1.0" encoding="utf-8"?>
<sst xmlns="http://schemas.openxmlformats.org/spreadsheetml/2006/main" count="49" uniqueCount="49">
  <si>
    <t>Annual Rate</t>
  </si>
  <si>
    <t>Years</t>
  </si>
  <si>
    <t>Loan Amount</t>
  </si>
  <si>
    <t>Monthly Installment(EMI)</t>
  </si>
  <si>
    <t>Input Variables (key Assumptions)</t>
  </si>
  <si>
    <t>Output (Target) Variables</t>
  </si>
  <si>
    <t xml:space="preserve">Revenue </t>
  </si>
  <si>
    <t xml:space="preserve">COGS </t>
  </si>
  <si>
    <t xml:space="preserve">Operating Expenses </t>
  </si>
  <si>
    <t xml:space="preserve">Marketing Expenses </t>
  </si>
  <si>
    <t xml:space="preserve">R&amp;D Expenses </t>
  </si>
  <si>
    <t xml:space="preserve">Interest Expenses </t>
  </si>
  <si>
    <t xml:space="preserve">Gross Profit </t>
  </si>
  <si>
    <t xml:space="preserve">Operating Profit </t>
  </si>
  <si>
    <t xml:space="preserve">Pre-Tax Profit </t>
  </si>
  <si>
    <t xml:space="preserve">Net-Profit </t>
  </si>
  <si>
    <t>Tax Rate</t>
  </si>
  <si>
    <t>$B$2</t>
  </si>
  <si>
    <t>$B$3</t>
  </si>
  <si>
    <t>$B$4</t>
  </si>
  <si>
    <t>$B$5</t>
  </si>
  <si>
    <t>$B$6</t>
  </si>
  <si>
    <t>$B$7</t>
  </si>
  <si>
    <t>$B$8</t>
  </si>
  <si>
    <t>$B$11</t>
  </si>
  <si>
    <t>$B$12</t>
  </si>
  <si>
    <t>$B$13</t>
  </si>
  <si>
    <t>$B$14</t>
  </si>
  <si>
    <t>BEST_CASE</t>
  </si>
  <si>
    <t>Created by omkar vaidya on 01-03-2026
Modified by omkar vaidya on 01-03-2026</t>
  </si>
  <si>
    <t>WORST_CASE</t>
  </si>
  <si>
    <t>Created by omkar vaidya on 01-03-2026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</si>
  <si>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</si>
  <si>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</si>
  <si>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</si>
  <si>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</si>
  <si>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</si>
  <si>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</si>
  <si>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</si>
  <si>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Chair</t>
  </si>
  <si>
    <t>Table</t>
  </si>
  <si>
    <t>Pofit</t>
  </si>
  <si>
    <t>Decision Variable</t>
  </si>
  <si>
    <t>Contribution</t>
  </si>
  <si>
    <t>Constraints</t>
  </si>
  <si>
    <t>Machine 1</t>
  </si>
  <si>
    <t>Machine 2</t>
  </si>
  <si>
    <t>Machine 3</t>
  </si>
  <si>
    <t>Maximum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</si>
</sst>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8" fontId="0" fillId="0" borderId="0" xfId="0" applyNumberFormat="1"/>
    <xf numFmtId="0" fontId="0" fillId="0" borderId="2" xfId="0" applyBorder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Border="1"/>
    <xf numFmtId="0" fontId="2" fillId="3" borderId="0" xfId="0" applyFont="1" applyFill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/>
    <xf numFmtId="0" fontId="5" fillId="0" borderId="0" xfId="0" applyFont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7" sqref="A7"/>
    </sheetView>
  </sheetViews>
  <sheetFormatPr defaultRowHeight="14.4" x14ac:dyDescent="0.3"/>
  <cols>
    <col min="1" max="1" width="22" bestFit="1" customWidth="1"/>
    <col min="2" max="2" width="12.6640625" customWidth="1"/>
  </cols>
  <sheetData>
    <row r="1" spans="1:2" x14ac:dyDescent="0.3">
      <c r="A1" t="s">
        <v>0</v>
      </c>
      <c r="B1" s="2">
        <v>0.06</v>
      </c>
    </row>
    <row r="2" spans="1:2" x14ac:dyDescent="0.3">
      <c r="A2" t="s">
        <v>1</v>
      </c>
      <c r="B2">
        <v>30</v>
      </c>
    </row>
    <row r="3" spans="1:2" x14ac:dyDescent="0.3">
      <c r="A3" t="s">
        <v>2</v>
      </c>
      <c r="B3">
        <v>250187.42158850297</v>
      </c>
    </row>
    <row r="4" spans="1:2" x14ac:dyDescent="0.3">
      <c r="A4" s="1"/>
      <c r="B4" s="1"/>
    </row>
    <row r="5" spans="1:2" x14ac:dyDescent="0.3">
      <c r="A5" t="s">
        <v>3</v>
      </c>
      <c r="B5" s="3">
        <f>PMT(B1/12,B2*12,B3)</f>
        <v>-1500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6B69-A996-4319-A3EF-F25FC9F0B135}">
  <dimension ref="A1:B14"/>
  <sheetViews>
    <sheetView workbookViewId="0">
      <selection activeCell="B14" sqref="B14"/>
    </sheetView>
  </sheetViews>
  <sheetFormatPr defaultRowHeight="14.4" x14ac:dyDescent="0.3"/>
  <cols>
    <col min="1" max="1" width="28.5546875" bestFit="1" customWidth="1"/>
  </cols>
  <sheetData>
    <row r="1" spans="1:2" x14ac:dyDescent="0.3">
      <c r="A1" s="15" t="s">
        <v>4</v>
      </c>
      <c r="B1" s="15"/>
    </row>
    <row r="2" spans="1:2" x14ac:dyDescent="0.3">
      <c r="A2" t="s">
        <v>6</v>
      </c>
      <c r="B2">
        <v>500000</v>
      </c>
    </row>
    <row r="3" spans="1:2" x14ac:dyDescent="0.3">
      <c r="A3" t="s">
        <v>7</v>
      </c>
      <c r="B3">
        <v>300000</v>
      </c>
    </row>
    <row r="4" spans="1:2" x14ac:dyDescent="0.3">
      <c r="A4" t="s">
        <v>8</v>
      </c>
      <c r="B4">
        <v>100000</v>
      </c>
    </row>
    <row r="5" spans="1:2" x14ac:dyDescent="0.3">
      <c r="A5" t="s">
        <v>9</v>
      </c>
      <c r="B5">
        <v>50000</v>
      </c>
    </row>
    <row r="6" spans="1:2" x14ac:dyDescent="0.3">
      <c r="A6" t="s">
        <v>10</v>
      </c>
      <c r="B6">
        <v>20000</v>
      </c>
    </row>
    <row r="7" spans="1:2" x14ac:dyDescent="0.3">
      <c r="A7" t="s">
        <v>11</v>
      </c>
      <c r="B7">
        <v>10000</v>
      </c>
    </row>
    <row r="8" spans="1:2" x14ac:dyDescent="0.3">
      <c r="A8" t="s">
        <v>16</v>
      </c>
      <c r="B8">
        <v>0.25</v>
      </c>
    </row>
    <row r="10" spans="1:2" x14ac:dyDescent="0.3">
      <c r="A10" s="15" t="s">
        <v>5</v>
      </c>
      <c r="B10" s="15"/>
    </row>
    <row r="11" spans="1:2" x14ac:dyDescent="0.3">
      <c r="A11" t="s">
        <v>12</v>
      </c>
      <c r="B11">
        <f>B2-B3</f>
        <v>200000</v>
      </c>
    </row>
    <row r="12" spans="1:2" x14ac:dyDescent="0.3">
      <c r="A12" t="s">
        <v>13</v>
      </c>
      <c r="B12">
        <f>B11-SUM(B4:B6)</f>
        <v>30000</v>
      </c>
    </row>
    <row r="13" spans="1:2" x14ac:dyDescent="0.3">
      <c r="A13" t="s">
        <v>14</v>
      </c>
      <c r="B13">
        <f>B12-B7</f>
        <v>20000</v>
      </c>
    </row>
    <row r="14" spans="1:2" x14ac:dyDescent="0.3">
      <c r="A14" t="s">
        <v>15</v>
      </c>
      <c r="B14">
        <f>B13-(B13*B8)</f>
        <v>15000</v>
      </c>
    </row>
  </sheetData>
  <scenarios current="0" sqref="B11:B14">
    <scenario name="BEST_CASE" locked="1" count="7" user="omkar vaidya" comment="Created by omkar vaidya on 01-03-2026_x000a_Modified by omkar vaidya on 01-03-2026">
      <inputCells r="B2" val="600000"/>
      <inputCells r="B3" val="280000"/>
      <inputCells r="B4" val="90000"/>
      <inputCells r="B5" val="40000"/>
      <inputCells r="B6" val="15000"/>
      <inputCells r="B7" val="8000"/>
      <inputCells r="B8" val="0.25"/>
    </scenario>
    <scenario name="WORST_CASE" locked="1" count="7" user="omkar vaidya" comment="Created by omkar vaidya on 01-03-2026">
      <inputCells r="B2" val="400000"/>
      <inputCells r="B3" val="320000"/>
      <inputCells r="B4" val="110000"/>
      <inputCells r="B5" val="60000"/>
      <inputCells r="B6" val="25000"/>
      <inputCells r="B7" val="12000"/>
      <inputCells r="B8" val="0.25"/>
    </scenario>
  </scenarios>
  <mergeCells count="2">
    <mergeCell ref="A10:B10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4C6A-F621-47A7-9B31-69FAF867BEEA}">
  <sheetPr>
    <outlinePr summaryBelow="0"/>
  </sheetPr>
  <dimension ref="B1:F20"/>
  <sheetViews>
    <sheetView showGridLines="0" workbookViewId="0">
      <selection activeCell="H12" sqref="H12"/>
    </sheetView>
  </sheetViews>
  <sheetFormatPr defaultRowHeight="14.4" outlineLevelRow="1" outlineLevelCol="1" x14ac:dyDescent="0.3"/>
  <cols>
    <col min="3" max="3" width="6.109375" bestFit="1" customWidth="1"/>
    <col min="4" max="6" width="13.109375" customWidth="1" outlineLevel="1"/>
  </cols>
  <sheetData>
    <row r="1" spans="2:6" ht="15" thickBot="1" x14ac:dyDescent="0.35"/>
    <row r="2" spans="2:6" ht="15.6" x14ac:dyDescent="0.3">
      <c r="B2" s="6" t="s">
        <v>32</v>
      </c>
      <c r="C2" s="6"/>
      <c r="D2" s="11"/>
      <c r="E2" s="11"/>
      <c r="F2" s="11"/>
    </row>
    <row r="3" spans="2:6" ht="15.6" collapsed="1" x14ac:dyDescent="0.3">
      <c r="B3" s="5"/>
      <c r="C3" s="5"/>
      <c r="D3" s="12" t="s">
        <v>34</v>
      </c>
      <c r="E3" s="12" t="s">
        <v>28</v>
      </c>
      <c r="F3" s="12" t="s">
        <v>30</v>
      </c>
    </row>
    <row r="4" spans="2:6" ht="61.2" hidden="1" outlineLevel="1" x14ac:dyDescent="0.3">
      <c r="B4" s="8"/>
      <c r="C4" s="8"/>
      <c r="E4" s="14" t="s">
        <v>29</v>
      </c>
      <c r="F4" s="14" t="s">
        <v>31</v>
      </c>
    </row>
    <row r="5" spans="2:6" x14ac:dyDescent="0.3">
      <c r="B5" s="9" t="s">
        <v>33</v>
      </c>
      <c r="C5" s="9"/>
      <c r="D5" s="7"/>
      <c r="E5" s="7"/>
      <c r="F5" s="7"/>
    </row>
    <row r="6" spans="2:6" outlineLevel="1" x14ac:dyDescent="0.3">
      <c r="B6" s="8"/>
      <c r="C6" s="8" t="s">
        <v>17</v>
      </c>
      <c r="D6">
        <v>500000</v>
      </c>
      <c r="E6" s="13">
        <v>600000</v>
      </c>
      <c r="F6" s="13">
        <v>400000</v>
      </c>
    </row>
    <row r="7" spans="2:6" outlineLevel="1" x14ac:dyDescent="0.3">
      <c r="B7" s="8"/>
      <c r="C7" s="8" t="s">
        <v>18</v>
      </c>
      <c r="D7">
        <v>300000</v>
      </c>
      <c r="E7" s="13">
        <v>280000</v>
      </c>
      <c r="F7" s="13">
        <v>320000</v>
      </c>
    </row>
    <row r="8" spans="2:6" outlineLevel="1" x14ac:dyDescent="0.3">
      <c r="B8" s="8"/>
      <c r="C8" s="8" t="s">
        <v>19</v>
      </c>
      <c r="D8">
        <v>100000</v>
      </c>
      <c r="E8" s="13">
        <v>90000</v>
      </c>
      <c r="F8" s="13">
        <v>110000</v>
      </c>
    </row>
    <row r="9" spans="2:6" outlineLevel="1" x14ac:dyDescent="0.3">
      <c r="B9" s="8"/>
      <c r="C9" s="8" t="s">
        <v>20</v>
      </c>
      <c r="D9">
        <v>50000</v>
      </c>
      <c r="E9" s="13">
        <v>40000</v>
      </c>
      <c r="F9" s="13">
        <v>60000</v>
      </c>
    </row>
    <row r="10" spans="2:6" outlineLevel="1" x14ac:dyDescent="0.3">
      <c r="B10" s="8"/>
      <c r="C10" s="8" t="s">
        <v>21</v>
      </c>
      <c r="D10">
        <v>20000</v>
      </c>
      <c r="E10" s="13">
        <v>15000</v>
      </c>
      <c r="F10" s="13">
        <v>25000</v>
      </c>
    </row>
    <row r="11" spans="2:6" outlineLevel="1" x14ac:dyDescent="0.3">
      <c r="B11" s="8"/>
      <c r="C11" s="8" t="s">
        <v>22</v>
      </c>
      <c r="D11">
        <v>10000</v>
      </c>
      <c r="E11" s="13">
        <v>8000</v>
      </c>
      <c r="F11" s="13">
        <v>12000</v>
      </c>
    </row>
    <row r="12" spans="2:6" outlineLevel="1" x14ac:dyDescent="0.3">
      <c r="B12" s="8"/>
      <c r="C12" s="8" t="s">
        <v>23</v>
      </c>
      <c r="D12">
        <v>0.25</v>
      </c>
      <c r="E12" s="13">
        <v>0.25</v>
      </c>
      <c r="F12" s="13">
        <v>0.25</v>
      </c>
    </row>
    <row r="13" spans="2:6" x14ac:dyDescent="0.3">
      <c r="B13" s="9" t="s">
        <v>35</v>
      </c>
      <c r="C13" s="9"/>
      <c r="D13" s="7"/>
      <c r="E13" s="7"/>
      <c r="F13" s="7"/>
    </row>
    <row r="14" spans="2:6" outlineLevel="1" x14ac:dyDescent="0.3">
      <c r="B14" s="8"/>
      <c r="C14" s="8" t="s">
        <v>24</v>
      </c>
      <c r="D14">
        <v>200000</v>
      </c>
      <c r="E14">
        <v>320000</v>
      </c>
      <c r="F14">
        <v>80000</v>
      </c>
    </row>
    <row r="15" spans="2:6" outlineLevel="1" x14ac:dyDescent="0.3">
      <c r="B15" s="8"/>
      <c r="C15" s="8" t="s">
        <v>25</v>
      </c>
      <c r="D15">
        <v>30000</v>
      </c>
      <c r="E15">
        <v>175000</v>
      </c>
      <c r="F15">
        <v>-115000</v>
      </c>
    </row>
    <row r="16" spans="2:6" outlineLevel="1" x14ac:dyDescent="0.3">
      <c r="B16" s="8"/>
      <c r="C16" s="8" t="s">
        <v>26</v>
      </c>
      <c r="D16">
        <v>20000</v>
      </c>
      <c r="E16">
        <v>167000</v>
      </c>
      <c r="F16">
        <v>-127000</v>
      </c>
    </row>
    <row r="17" spans="2:6" ht="15" outlineLevel="1" thickBot="1" x14ac:dyDescent="0.35">
      <c r="B17" s="10"/>
      <c r="C17" s="10" t="s">
        <v>27</v>
      </c>
      <c r="D17" s="4">
        <v>15000</v>
      </c>
      <c r="E17" s="4">
        <v>125250</v>
      </c>
      <c r="F17" s="4">
        <v>-95250</v>
      </c>
    </row>
    <row r="18" spans="2:6" x14ac:dyDescent="0.3">
      <c r="B18" t="s">
        <v>36</v>
      </c>
    </row>
    <row r="19" spans="2:6" x14ac:dyDescent="0.3">
      <c r="B19" t="s">
        <v>37</v>
      </c>
    </row>
    <row r="20" spans="2:6" x14ac:dyDescent="0.3">
      <c r="B20" t="s">
        <v>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11E1-6F29-4C9D-BF97-D41DB5A3D165}">
  <dimension ref="A1:F8"/>
  <sheetViews>
    <sheetView tabSelected="1" workbookViewId="0">
      <selection activeCell="G3" sqref="G3"/>
    </sheetView>
  </sheetViews>
  <sheetFormatPr defaultRowHeight="14.4" x14ac:dyDescent="0.3"/>
  <cols>
    <col min="1" max="1" width="15.109375" bestFit="1" customWidth="1"/>
  </cols>
  <sheetData>
    <row r="1" spans="1:6" x14ac:dyDescent="0.3">
      <c r="B1" t="s">
        <v>39</v>
      </c>
      <c r="C1" t="s">
        <v>40</v>
      </c>
      <c r="D1" t="s">
        <v>41</v>
      </c>
    </row>
    <row r="2" spans="1:6" x14ac:dyDescent="0.3">
      <c r="A2" t="s">
        <v>42</v>
      </c>
      <c r="B2">
        <v>3</v>
      </c>
      <c r="C2">
        <v>9</v>
      </c>
    </row>
    <row r="3" spans="1:6" x14ac:dyDescent="0.3">
      <c r="A3" t="s">
        <v>43</v>
      </c>
      <c r="B3">
        <v>20</v>
      </c>
      <c r="C3">
        <v>30</v>
      </c>
      <c r="D3">
        <f>SUMPRODUCT($B$2:$C$2,B3:C3)</f>
        <v>330</v>
      </c>
    </row>
    <row r="5" spans="1:6" x14ac:dyDescent="0.3">
      <c r="A5" t="s">
        <v>44</v>
      </c>
      <c r="E5" s="15" t="s">
        <v>48</v>
      </c>
      <c r="F5" s="15"/>
    </row>
    <row r="6" spans="1:6" x14ac:dyDescent="0.3">
      <c r="A6" t="s">
        <v>45</v>
      </c>
      <c r="B6">
        <v>3</v>
      </c>
      <c r="C6">
        <v>3</v>
      </c>
      <c r="D6">
        <f t="shared" ref="D6:D8" si="0">SUMPRODUCT($B$2:$C$2,B6:C6)</f>
        <v>36</v>
      </c>
      <c r="E6">
        <v>36</v>
      </c>
    </row>
    <row r="7" spans="1:6" x14ac:dyDescent="0.3">
      <c r="A7" t="s">
        <v>46</v>
      </c>
      <c r="B7">
        <v>5</v>
      </c>
      <c r="C7">
        <v>2</v>
      </c>
      <c r="D7">
        <f t="shared" si="0"/>
        <v>33</v>
      </c>
      <c r="E7">
        <v>50</v>
      </c>
    </row>
    <row r="8" spans="1:6" x14ac:dyDescent="0.3">
      <c r="A8" t="s">
        <v>47</v>
      </c>
      <c r="B8">
        <v>2</v>
      </c>
      <c r="C8">
        <v>6</v>
      </c>
      <c r="D8">
        <f t="shared" si="0"/>
        <v>60</v>
      </c>
      <c r="E8">
        <v>60</v>
      </c>
    </row>
  </sheetData>
  <mergeCells count="1"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Scenario Summary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2026-03-11T15:45:13Z</dcterms:modified>
</cp:coreProperties>
</file>