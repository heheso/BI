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python_work\BI PRACS\"/>
    </mc:Choice>
  </mc:AlternateContent>
  <xr:revisionPtr revIDLastSave="0" documentId="8_{DEE608A6-033E-47AB-9F51-3F21755BAF20}" xr6:coauthVersionLast="47" xr6:coauthVersionMax="47" xr10:uidLastSave="{00000000-0000-0000-0000-000000000000}"/>
  <bookViews>
    <workbookView xWindow="11424" yWindow="0" windowWidth="11712" windowHeight="12336" activeTab="1" xr2:uid="{35EA06A3-1DA3-43A2-991E-89A146F8A2E1}"/>
  </bookViews>
  <sheets>
    <sheet name="Scenario Summa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 l="1"/>
  <c r="H2" i="1" s="1"/>
  <c r="H3" i="1" s="1"/>
  <c r="H4" i="1" s="1"/>
  <c r="B4" i="1"/>
</calcChain>
</file>

<file path=xl/sharedStrings.xml><?xml version="1.0" encoding="utf-8"?>
<sst xmlns="http://schemas.openxmlformats.org/spreadsheetml/2006/main" count="37" uniqueCount="36">
  <si>
    <t>Loan AMT</t>
  </si>
  <si>
    <t>ROI</t>
  </si>
  <si>
    <t>Period</t>
  </si>
  <si>
    <t>Monthly Payment</t>
  </si>
  <si>
    <t>Revenue</t>
  </si>
  <si>
    <t>COGS</t>
  </si>
  <si>
    <t>Opearting expense</t>
  </si>
  <si>
    <t>ME</t>
  </si>
  <si>
    <t>R&amp;D</t>
  </si>
  <si>
    <t>IE</t>
  </si>
  <si>
    <t>TR</t>
  </si>
  <si>
    <t>GP</t>
  </si>
  <si>
    <t>OP</t>
  </si>
  <si>
    <t>PTP</t>
  </si>
  <si>
    <t>NP</t>
  </si>
  <si>
    <t>$E$1</t>
  </si>
  <si>
    <t>$E$2</t>
  </si>
  <si>
    <t>$E$3</t>
  </si>
  <si>
    <t>$E$4</t>
  </si>
  <si>
    <t>$E$5</t>
  </si>
  <si>
    <t>$E$6</t>
  </si>
  <si>
    <t>$E$7</t>
  </si>
  <si>
    <t>$H$1</t>
  </si>
  <si>
    <t>$H$2</t>
  </si>
  <si>
    <t>$H$3</t>
  </si>
  <si>
    <t>$H$4</t>
  </si>
  <si>
    <t>Best Case</t>
  </si>
  <si>
    <t>Created by sakshi sawant on 11-03-2026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</si>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</sst>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/>
    <xf numFmtId="8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F759-259D-434C-8305-2A3E26974026}">
  <sheetPr>
    <outlinePr summaryBelow="0"/>
  </sheetPr>
  <dimension ref="B1:F20"/>
  <sheetViews>
    <sheetView showGridLines="0" workbookViewId="0">
      <selection activeCell="C6" sqref="C6"/>
    </sheetView>
  </sheetViews>
  <sheetFormatPr defaultRowHeight="14.4" outlineLevelRow="1" outlineLevelCol="1" x14ac:dyDescent="0.3"/>
  <cols>
    <col min="3" max="3" width="5.218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6" t="s">
        <v>29</v>
      </c>
      <c r="C2" s="6"/>
      <c r="D2" s="11"/>
      <c r="E2" s="11"/>
      <c r="F2" s="11"/>
    </row>
    <row r="3" spans="2:6" ht="15.6" collapsed="1" x14ac:dyDescent="0.3">
      <c r="B3" s="5"/>
      <c r="C3" s="5"/>
      <c r="D3" s="12" t="s">
        <v>31</v>
      </c>
      <c r="E3" s="12" t="s">
        <v>26</v>
      </c>
      <c r="F3" s="12" t="s">
        <v>28</v>
      </c>
    </row>
    <row r="4" spans="2:6" ht="30.6" hidden="1" outlineLevel="1" x14ac:dyDescent="0.3">
      <c r="B4" s="8"/>
      <c r="C4" s="8"/>
      <c r="D4" s="3"/>
      <c r="E4" s="14" t="s">
        <v>27</v>
      </c>
      <c r="F4" s="14" t="s">
        <v>27</v>
      </c>
    </row>
    <row r="5" spans="2:6" x14ac:dyDescent="0.3">
      <c r="B5" s="9" t="s">
        <v>30</v>
      </c>
      <c r="C5" s="9"/>
      <c r="D5" s="7"/>
      <c r="E5" s="7"/>
      <c r="F5" s="7"/>
    </row>
    <row r="6" spans="2:6" outlineLevel="1" x14ac:dyDescent="0.3">
      <c r="B6" s="8"/>
      <c r="C6" s="8" t="s">
        <v>15</v>
      </c>
      <c r="D6" s="3">
        <v>500000</v>
      </c>
      <c r="E6" s="13">
        <v>600000</v>
      </c>
      <c r="F6" s="13">
        <v>400000</v>
      </c>
    </row>
    <row r="7" spans="2:6" outlineLevel="1" x14ac:dyDescent="0.3">
      <c r="B7" s="8"/>
      <c r="C7" s="8" t="s">
        <v>16</v>
      </c>
      <c r="D7" s="3">
        <v>300000</v>
      </c>
      <c r="E7" s="13">
        <v>280000</v>
      </c>
      <c r="F7" s="13">
        <v>320000</v>
      </c>
    </row>
    <row r="8" spans="2:6" outlineLevel="1" x14ac:dyDescent="0.3">
      <c r="B8" s="8"/>
      <c r="C8" s="8" t="s">
        <v>17</v>
      </c>
      <c r="D8" s="3">
        <v>100000</v>
      </c>
      <c r="E8" s="13">
        <v>90000</v>
      </c>
      <c r="F8" s="13">
        <v>110000</v>
      </c>
    </row>
    <row r="9" spans="2:6" outlineLevel="1" x14ac:dyDescent="0.3">
      <c r="B9" s="8"/>
      <c r="C9" s="8" t="s">
        <v>18</v>
      </c>
      <c r="D9" s="3">
        <v>50000</v>
      </c>
      <c r="E9" s="13">
        <v>40000</v>
      </c>
      <c r="F9" s="13">
        <v>60000</v>
      </c>
    </row>
    <row r="10" spans="2:6" outlineLevel="1" x14ac:dyDescent="0.3">
      <c r="B10" s="8"/>
      <c r="C10" s="8" t="s">
        <v>19</v>
      </c>
      <c r="D10" s="3">
        <v>20000</v>
      </c>
      <c r="E10" s="13">
        <v>15000</v>
      </c>
      <c r="F10" s="13">
        <v>25000</v>
      </c>
    </row>
    <row r="11" spans="2:6" outlineLevel="1" x14ac:dyDescent="0.3">
      <c r="B11" s="8"/>
      <c r="C11" s="8" t="s">
        <v>20</v>
      </c>
      <c r="D11" s="3">
        <v>10000</v>
      </c>
      <c r="E11" s="13">
        <v>8000</v>
      </c>
      <c r="F11" s="13">
        <v>12000</v>
      </c>
    </row>
    <row r="12" spans="2:6" outlineLevel="1" x14ac:dyDescent="0.3">
      <c r="B12" s="8"/>
      <c r="C12" s="8" t="s">
        <v>21</v>
      </c>
      <c r="D12" s="3">
        <v>0.25</v>
      </c>
      <c r="E12" s="13">
        <v>0.25</v>
      </c>
      <c r="F12" s="13">
        <v>0.25</v>
      </c>
    </row>
    <row r="13" spans="2:6" x14ac:dyDescent="0.3">
      <c r="B13" s="9" t="s">
        <v>32</v>
      </c>
      <c r="C13" s="9"/>
      <c r="D13" s="7"/>
      <c r="E13" s="7"/>
      <c r="F13" s="7"/>
    </row>
    <row r="14" spans="2:6" outlineLevel="1" x14ac:dyDescent="0.3">
      <c r="B14" s="8"/>
      <c r="C14" s="8" t="s">
        <v>22</v>
      </c>
      <c r="D14" s="3">
        <v>200000</v>
      </c>
      <c r="E14" s="3">
        <v>320000</v>
      </c>
      <c r="F14" s="3">
        <v>80000</v>
      </c>
    </row>
    <row r="15" spans="2:6" outlineLevel="1" x14ac:dyDescent="0.3">
      <c r="B15" s="8"/>
      <c r="C15" s="8" t="s">
        <v>23</v>
      </c>
      <c r="D15" s="3">
        <v>30000</v>
      </c>
      <c r="E15" s="3">
        <v>175000</v>
      </c>
      <c r="F15" s="3">
        <v>-115000</v>
      </c>
    </row>
    <row r="16" spans="2:6" outlineLevel="1" x14ac:dyDescent="0.3">
      <c r="B16" s="8"/>
      <c r="C16" s="8" t="s">
        <v>24</v>
      </c>
      <c r="D16" s="3">
        <v>20000</v>
      </c>
      <c r="E16" s="3">
        <v>167000</v>
      </c>
      <c r="F16" s="3">
        <v>-127000</v>
      </c>
    </row>
    <row r="17" spans="2:6" ht="15" outlineLevel="1" thickBot="1" x14ac:dyDescent="0.35">
      <c r="B17" s="10"/>
      <c r="C17" s="10" t="s">
        <v>25</v>
      </c>
      <c r="D17" s="4">
        <v>15000</v>
      </c>
      <c r="E17" s="4">
        <v>125250</v>
      </c>
      <c r="F17" s="4">
        <v>-95250</v>
      </c>
    </row>
    <row r="18" spans="2:6" x14ac:dyDescent="0.3">
      <c r="B18" t="s">
        <v>33</v>
      </c>
    </row>
    <row r="19" spans="2:6" x14ac:dyDescent="0.3">
      <c r="B19" t="s">
        <v>34</v>
      </c>
    </row>
    <row r="20" spans="2:6" x14ac:dyDescent="0.3">
      <c r="B2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AB2D-457F-4A2D-99B4-F5B03FF449A8}">
  <dimension ref="A1:H7"/>
  <sheetViews>
    <sheetView tabSelected="1" workbookViewId="0">
      <selection activeCell="H4" sqref="H4"/>
    </sheetView>
  </sheetViews>
  <sheetFormatPr defaultRowHeight="14.4" x14ac:dyDescent="0.3"/>
  <cols>
    <col min="2" max="2" width="9.44140625" bestFit="1" customWidth="1"/>
  </cols>
  <sheetData>
    <row r="1" spans="1:8" x14ac:dyDescent="0.3">
      <c r="A1" t="s">
        <v>0</v>
      </c>
      <c r="B1">
        <v>250187.42158850297</v>
      </c>
      <c r="D1" t="s">
        <v>4</v>
      </c>
      <c r="E1">
        <v>500000</v>
      </c>
      <c r="G1" t="s">
        <v>11</v>
      </c>
      <c r="H1">
        <f>E1-E2</f>
        <v>200000</v>
      </c>
    </row>
    <row r="2" spans="1:8" x14ac:dyDescent="0.3">
      <c r="A2" t="s">
        <v>1</v>
      </c>
      <c r="B2" s="1">
        <v>0.06</v>
      </c>
      <c r="D2" t="s">
        <v>5</v>
      </c>
      <c r="E2">
        <v>300000</v>
      </c>
      <c r="G2" t="s">
        <v>12</v>
      </c>
      <c r="H2">
        <f>H1-E3-E4-E5</f>
        <v>30000</v>
      </c>
    </row>
    <row r="3" spans="1:8" x14ac:dyDescent="0.3">
      <c r="A3" t="s">
        <v>2</v>
      </c>
      <c r="B3">
        <v>30</v>
      </c>
      <c r="D3" t="s">
        <v>6</v>
      </c>
      <c r="E3">
        <v>100000</v>
      </c>
      <c r="G3" t="s">
        <v>13</v>
      </c>
      <c r="H3">
        <f>H2-E6</f>
        <v>20000</v>
      </c>
    </row>
    <row r="4" spans="1:8" x14ac:dyDescent="0.3">
      <c r="A4" t="s">
        <v>3</v>
      </c>
      <c r="B4" s="2">
        <f>PMT(B2/12, B3*12, -B1)</f>
        <v>1500</v>
      </c>
      <c r="D4" t="s">
        <v>7</v>
      </c>
      <c r="E4">
        <v>50000</v>
      </c>
      <c r="G4" t="s">
        <v>14</v>
      </c>
      <c r="H4">
        <f>H3-(H3*E7)</f>
        <v>15000</v>
      </c>
    </row>
    <row r="5" spans="1:8" x14ac:dyDescent="0.3">
      <c r="D5" t="s">
        <v>8</v>
      </c>
      <c r="E5">
        <v>20000</v>
      </c>
    </row>
    <row r="6" spans="1:8" x14ac:dyDescent="0.3">
      <c r="D6" t="s">
        <v>9</v>
      </c>
      <c r="E6">
        <v>10000</v>
      </c>
    </row>
    <row r="7" spans="1:8" x14ac:dyDescent="0.3">
      <c r="D7" t="s">
        <v>10</v>
      </c>
      <c r="E7">
        <v>0.25</v>
      </c>
    </row>
  </sheetData>
  <scenarios current="0" sqref="H1:H4">
    <scenario name="Best Case" locked="1" count="7" user="sakshi sawant" comment="Created by sakshi sawant on 11-03-2026">
      <inputCells r="E1" val="600000"/>
      <inputCells r="E2" val="280000"/>
      <inputCells r="E3" val="90000"/>
      <inputCells r="E4" val="40000"/>
      <inputCells r="E5" val="15000"/>
      <inputCells r="E6" val="8000"/>
      <inputCells r="E7" val="0.25"/>
    </scenario>
    <scenario name="Worst Case" locked="1" count="7" user="sakshi sawant" comment="Created by sakshi sawant on 11-03-2026">
      <inputCells r="E1" val="400000"/>
      <inputCells r="E2" val="320000"/>
      <inputCells r="E3" val="110000"/>
      <inputCells r="E4" val="60000"/>
      <inputCells r="E5" val="25000"/>
      <inputCells r="E6" val="12000"/>
      <inputCells r="E7" val="0.25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Sawant</dc:creator>
  <cp:lastModifiedBy>Sakshi Sawant</cp:lastModifiedBy>
  <dcterms:created xsi:type="dcterms:W3CDTF">2026-03-11T10:01:28Z</dcterms:created>
  <dcterms:modified xsi:type="dcterms:W3CDTF">2026-03-11T10:23:31Z</dcterms:modified>
</cp:coreProperties>
</file>